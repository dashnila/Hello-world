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  <sheet name="Лист5" r:id="rId5" sheetId="5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<sst xmlns="http://schemas.openxmlformats.org/spreadsheetml/2006/main" xmlns:a="http://schemas.openxmlformats.org/drawingml/2006/main" xmlns:a15="http://schemas.microsoft.com/office/drawing/2012/main" xmlns:asvg="http://schemas.microsoft.com/office/drawing/2016/SVG/main" xmlns:c="http://schemas.openxmlformats.org/drawingml/2006/chart" xmlns:co="http://ncloudtech.com" xmlns:co-ooxml="http://ncloudtech.com/ooxml" xmlns:m="http://schemas.openxmlformats.org/officeDocument/2006/math" xmlns:mc="http://schemas.openxmlformats.org/markup-compatibility/2006" xmlns:o="urn:schemas-microsoft-com:office:office" xmlns:p="http://schemas.openxmlformats.org/presentationml/2006/main" xmlns:pic="http://schemas.openxmlformats.org/drawingml/2006/picture" xmlns:r="http://schemas.openxmlformats.org/officeDocument/2006/relationships" xmlns:s="http://schemas.openxmlformats.org/officeDocument/2006/sharedTypes" xmlns:sl="http://schemas.openxmlformats.org/schemaLibrary/2006/main" xmlns:v="urn:schemas-microsoft-com:vml" xmlns:w="http://schemas.openxmlformats.org/wordprocessingml/2006/main" xmlns:w10="urn:schemas-microsoft-com:office:word" xmlns:w14="http://schemas.microsoft.com/office/word/2010/wordml" xmlns:w15="http://schemas.microsoft.com/office/word/2012/wordml" xmlns:wp="http://schemas.openxmlformats.org/drawingml/2006/wordprocessingDrawing" xmlns:wpg="http://schemas.microsoft.com/office/word/2010/wordprocessingGroup" xmlns:wps="http://schemas.microsoft.com/office/word/2010/wordprocessingShape" xmlns:x="urn:schemas-microsoft-com:office:excel" xmlns:x12ac="http://schemas.microsoft.com/office/spreadsheetml/2011/1/ac" xmlns:x14="http://schemas.microsoft.com/office/spreadsheetml/2009/9/main" xmlns:xdr="http://schemas.openxmlformats.org/drawingml/2006/spreadsheetDrawing" xmlns:xm="http://schemas.microsoft.com/office/excel/2006/main" mc:Ignorable="co co-ooxml w14 x14 w15">
  <si>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</si>
  <si>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</si>
  <si>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r>
      <rPr>
        <rFont val="XO Thames"/>
        <b val="true"/>
        <sz val="12"/>
      </rPr>
      <t>максимальный показатель</t>
    </r>
  </si>
  <si>
    <r>
      <rPr>
        <rFont val="XO Thames"/>
        <b val="true"/>
        <sz val="12"/>
      </rPr>
      <t>сумма для 2</t>
    </r>
  </si>
  <si>
    <t>сумма для 3</t>
  </si>
  <si>
    <r>
      <rPr>
        <rFont val="XO Thames"/>
        <b val="true"/>
        <sz val="12"/>
      </rPr>
      <t>Cтатистическая функция</t>
    </r>
  </si>
  <si>
    <r>
      <rPr>
        <rFont val="XO Thames"/>
        <b val="true"/>
        <sz val="12"/>
      </rPr>
      <t>Для А (Лист3)</t>
    </r>
  </si>
  <si>
    <r>
      <rPr>
        <rFont val="XO Thames"/>
        <b val="true"/>
        <sz val="12"/>
      </rPr>
      <t>Для В (Лист 3)</t>
    </r>
  </si>
  <si>
    <r>
      <rPr>
        <rFont val="XO Thames"/>
        <b val="true"/>
        <sz val="12"/>
      </rPr>
      <t>Для С (Лист3)</t>
    </r>
  </si>
  <si>
    <t>Среднее значение</t>
  </si>
  <si>
    <t>Максимальное значение</t>
  </si>
  <si>
    <t>Минимальное значение</t>
  </si>
  <si>
    <t>Медиана</t>
  </si>
  <si>
    <t>Мода</t>
  </si>
  <si>
    <t>Дисперсия</t>
  </si>
  <si>
    <t>Колледж 1</t>
  </si>
  <si>
    <t>Колледж 2</t>
  </si>
  <si>
    <t>Колледж 3</t>
  </si>
  <si>
    <t>Колледж 4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</si>
</sst>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4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 diagonalDown="true" diagonalUp="true"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  <diagonal style="none">
        <color rgb="000000" tint="0"/>
      </diagonal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Alignment="true" applyBorder="false" applyFill="false" applyFont="true" borderId="0" fillId="0" fontId="1" numFmtId="0" quotePrefix="false">
      <alignment wrapText="true"/>
    </xf>
    <xf applyAlignment="true" applyBorder="true" applyFill="false" applyFont="true" borderId="1" fillId="0" fontId="2" numFmtId="0" quotePrefix="false">
      <alignment horizontal="center" wrapText="true"/>
    </xf>
    <xf applyAlignment="true" applyBorder="true" applyFill="false" applyFont="true" borderId="2" fillId="0" fontId="2" numFmtId="0" quotePrefix="false">
      <alignment horizontal="center" vertical="center"/>
    </xf>
    <xf applyAlignment="true" applyBorder="true" applyFill="false" applyFont="true" borderId="2" fillId="0" fontId="1" numFmtId="0" quotePrefix="false">
      <alignment horizontal="center" vertical="center"/>
    </xf>
    <xf applyBorder="true" applyFill="false" applyFont="true" borderId="2" fillId="0" fontId="1" numFmtId="0" quotePrefix="false"/>
    <xf applyBorder="true" applyFill="false" applyFont="true" borderId="2" fillId="0" fontId="2" numFmtId="0" quotePrefix="false"/>
    <xf applyBorder="true" applyFill="false" applyFont="true" borderId="3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haredStrings.xml" Type="http://schemas.openxmlformats.org/officeDocument/2006/relationships/sharedString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8" Target="theme/theme1.xml" Type="http://schemas.openxmlformats.org/officeDocument/2006/relationships/theme"/>
  <Relationship Id="rId4" Target="worksheets/sheet4.xml" Type="http://schemas.openxmlformats.org/officeDocument/2006/relationships/worksheet"/>
  <Relationship Id="rId7" Target="styles.xml" Type="http://schemas.openxmlformats.org/officeDocument/2006/relationships/styles"/>
  <Relationship Id="rId5" Target="worksheets/sheet5.xml" Type="http://schemas.openxmlformats.org/officeDocument/2006/relationships/worksheet"/>
</Relationships>

</file>

<file path=xl/charts/chart1.xml><?xml version="1.0" encoding="utf-8"?>
<c:chartSpac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c:chart>
    <c:title/>
    <c:autoTitleDeleted val="false"/>
    <c:plotArea>
      <c:lineChart>
        <c:grouping val="standard"/>
        <c:ser>
          <c:idx val="0"/>
          <c:order val="0"/>
          <c:tx>
            <c:strRef>
              <c:f>'Лист5'!A2</c:f>
            </c:strRef>
          </c:tx>
          <c:spPr>
            <a:ln w="38100">
              <a:solidFill>
                <a:schemeClr val="accent1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1">
                  <a:lumMod val="100000"/>
                  <a:lumOff val="0"/>
                </a:schemeClr>
              </a:solidFill>
              <a:ln>
                <a:solidFill>
                  <a:schemeClr val="accent1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'Лист5'!B2:H2</c:f>
            </c:numRef>
          </c:val>
          <c:smooth val="false"/>
        </c:ser>
        <c:ser>
          <c:idx val="1"/>
          <c:order val="1"/>
          <c:tx>
            <c:strRef>
              <c:f>'Лист5'!A3</c:f>
            </c:strRef>
          </c:tx>
          <c:spPr>
            <a:ln w="38100">
              <a:solidFill>
                <a:schemeClr val="accent2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2">
                  <a:lumMod val="100000"/>
                  <a:lumOff val="0"/>
                </a:schemeClr>
              </a:solidFill>
              <a:ln>
                <a:solidFill>
                  <a:schemeClr val="accent2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'Лист5'!B3:H3</c:f>
            </c:numRef>
          </c:val>
          <c:smooth val="false"/>
        </c:ser>
        <c:ser>
          <c:idx val="2"/>
          <c:order val="2"/>
          <c:tx>
            <c:strRef>
              <c:f>'Лист5'!A4</c:f>
            </c:strRef>
          </c:tx>
          <c:spPr>
            <a:ln w="38100">
              <a:solidFill>
                <a:schemeClr val="accent3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3">
                  <a:lumMod val="100000"/>
                  <a:lumOff val="0"/>
                </a:schemeClr>
              </a:solidFill>
              <a:ln>
                <a:solidFill>
                  <a:schemeClr val="accent3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'Лист5'!B4:H4</c:f>
            </c:numRef>
          </c:val>
          <c:smooth val="false"/>
        </c:ser>
        <c:ser>
          <c:idx val="3"/>
          <c:order val="3"/>
          <c:tx>
            <c:strRef>
              <c:f>'Лист5'!A5</c:f>
            </c:strRef>
          </c:tx>
          <c:spPr>
            <a:ln w="38100">
              <a:solidFill>
                <a:schemeClr val="accent4">
                  <a:lumMod val="100000"/>
                  <a:lumOff val="0"/>
                </a:schemeClr>
              </a:solidFill>
              <a:prstDash val="solid"/>
            </a:ln>
          </c:spPr>
          <c:marker>
            <c:symbol val="circle"/>
            <c:spPr>
              <a:solidFill>
                <a:schemeClr val="accent4">
                  <a:lumMod val="100000"/>
                  <a:lumOff val="0"/>
                </a:schemeClr>
              </a:solidFill>
              <a:ln>
                <a:solidFill>
                  <a:schemeClr val="accent4">
                    <a:lumMod val="100000"/>
                    <a:lumOff val="0"/>
                  </a:schemeClr>
                </a:solidFill>
              </a:ln>
            </c:spPr>
          </c:marker>
          <c:cat>
            <c:strRef>
              <c:f>'Лист5'!B1:H1</c:f>
            </c:strRef>
          </c:cat>
          <c:val>
            <c:numRef>
              <c:f>'Лист5'!B5:H5</c:f>
            </c:numRef>
          </c:val>
          <c:smooth val="false"/>
        </c:ser>
        <c:marker val="true"/>
        <c:smooth val="false"/>
        <c:axId val="1"/>
        <c:axId val="2"/>
      </c:lineChart>
      <c:valAx>
        <c:axId val="2"/>
        <c:scaling>
          <c:orientation val="minMax"/>
        </c:scaling>
        <c:delete val="false"/>
        <c:axPos val="l"/>
        <c:majorGridlines>
          <c:spPr>
            <a:ln w="12700">
              <a:solidFill>
                <a:srgbClr val="D9D9D9"/>
              </a:solidFill>
            </a:ln>
          </c:spPr>
        </c:majorGridlines>
        <c:majorTickMark val="out"/>
        <c:minorTickMark val="none"/>
        <c:tickLblPos val="nextTo"/>
        <c:crossAx val="1"/>
      </c:valAx>
      <c:catAx>
        <c:axId val="1"/>
        <c:scaling>
          <c:orientation val="minMax"/>
        </c:scaling>
        <c:delete val="false"/>
        <c:axPos val="b"/>
        <c:majorTickMark val="out"/>
        <c:minorTickMark val="none"/>
        <c:tickLblPos val="nextTo"/>
        <c:crossAx val="2"/>
      </c:catAx>
      <c:spPr>
        <a:noFill/>
      </c:spPr>
    </c:plotArea>
    <c:legend>
      <c:legendPos val="b"/>
      <c:overlay val="false"/>
    </c:legend>
    <c:dispBlanksAs val="zero"/>
  </c:chart>
  <c:spPr>
    <a:solidFill>
      <a:srgbClr val="FFFFFF"/>
    </a:solidFill>
  </c:spPr>
</c:chartSpace>
</file>

<file path=xl/drawings/_rels/drawing1.xml.rels><?xml version="1.0" encoding="UTF-8" standalone="no" ?>
<Relationships xmlns="http://schemas.openxmlformats.org/package/2006/relationships">
  <Relationship Id="rId1" Target="../charts/chart1.xml" Type="http://schemas.openxmlformats.org/officeDocument/2006/relationships/chart"/>
</Relationships>

</file>

<file path=xl/drawings/drawing1.xml><?xml version="1.0" encoding="utf-8"?>
<xdr:wsDr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xdr:absoluteAnchor>
    <xdr:pos x="9525" y="1152524"/>
    <xdr:ext cx="4635500" cy="3429000"/>
    <xdr:graphicFrame>
      <xdr:nvGraphicFramePr>
        <xdr:cNvPr hidden="false" id="1" name="Chart 1"/>
        <xdr:cNvGraphicFramePr/>
      </xdr:nvGraphicFramePr>
      <xdr:xfrm flipH="false" flipV="false" rot="0"/>
      <a:graphic>
        <a:graphicData uri="http://schemas.openxmlformats.org/drawingml/2006/chart">
          <c:chart r:id="rId1"/>
        </a:graphicData>
      </a:graphic>
    </xdr:graphicFrame>
    <xdr:clientData fLocksWithSheet="true"/>
  </xdr:absoluteAnchor>
</xdr:wsDr>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_rels/sheet5.xml.rels><?xml version="1.0" encoding="UTF-8" standalone="no" ?>
<Relationships xmlns="http://schemas.openxmlformats.org/package/2006/relationships">
  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20.753878261587417"/>
    <col bestFit="true" customWidth="true" max="16384" min="2" outlineLevel="0" style="0" width="10.788470377394527"/>
  </cols>
  <sheetData>
    <row outlineLevel="0" r="1">
      <c r="A1" s="1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2" min="2" outlineLevel="0" width="15.95210431734087"/>
  </cols>
  <sheetData>
    <row outlineLevel="0" r="1">
      <c r="A1" s="1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(3^(A2+1)-1)/2</f>
        <v>1</v>
      </c>
    </row>
    <row outlineLevel="0" r="3">
      <c r="A3" s="0" t="n">
        <v>1</v>
      </c>
      <c r="B3" s="0" t="n">
        <f aca="false" ca="false" dt2D="false" dtr="false" t="normal">(3^(A3+1)-1)/2</f>
        <v>4</v>
      </c>
    </row>
    <row outlineLevel="0" r="4">
      <c r="A4" s="0" t="n">
        <v>2</v>
      </c>
      <c r="B4" s="0" t="n">
        <f aca="false" ca="false" dt2D="false" dtr="false" t="normal">(3^(A4+1)-1)/2</f>
        <v>13</v>
      </c>
    </row>
    <row outlineLevel="0" r="5">
      <c r="A5" s="0" t="n">
        <v>3</v>
      </c>
      <c r="B5" s="0" t="n">
        <f aca="false" ca="false" dt2D="false" dtr="false" t="normal">(3^(A5+1)-1)/2</f>
        <v>40</v>
      </c>
    </row>
    <row outlineLevel="0" r="6">
      <c r="A6" s="0" t="n">
        <v>4</v>
      </c>
      <c r="B6" s="0" t="n">
        <f aca="false" ca="false" dt2D="false" dtr="false" t="normal">(3^(A6+1)-1)/2</f>
        <v>121</v>
      </c>
    </row>
    <row outlineLevel="0" r="7">
      <c r="A7" s="0" t="n">
        <v>5</v>
      </c>
      <c r="B7" s="0" t="n">
        <f aca="false" ca="false" dt2D="false" dtr="false" t="normal">(3^(A7+1)-1)/2</f>
        <v>364</v>
      </c>
    </row>
    <row outlineLevel="0" r="8">
      <c r="A8" s="0" t="n">
        <v>6</v>
      </c>
      <c r="B8" s="0" t="n">
        <f aca="false" ca="false" dt2D="false" dtr="false" t="normal">(3^(A8+1)-1)/2</f>
        <v>1093</v>
      </c>
    </row>
    <row outlineLevel="0" r="9">
      <c r="A9" s="0" t="n">
        <v>7</v>
      </c>
      <c r="B9" s="0" t="n">
        <f aca="false" ca="false" dt2D="false" dtr="false" t="normal">(3^(A9+1)-1)/2</f>
        <v>3280</v>
      </c>
    </row>
    <row outlineLevel="0" r="10">
      <c r="A10" s="0" t="n">
        <v>8</v>
      </c>
      <c r="B10" s="0" t="n">
        <f aca="false" ca="false" dt2D="false" dtr="false" t="normal">(3^(A10+1)-1)/2</f>
        <v>9841</v>
      </c>
    </row>
    <row outlineLevel="0" r="11">
      <c r="A11" s="0" t="n">
        <v>9</v>
      </c>
      <c r="B11" s="0" t="n">
        <f aca="false" ca="false" dt2D="false" dtr="false" t="normal">(3^(A11+1)-1)/2</f>
        <v>29524</v>
      </c>
    </row>
    <row outlineLevel="0" r="12">
      <c r="A12" s="0" t="n">
        <v>10</v>
      </c>
      <c r="B12" s="0" t="n">
        <f aca="false" ca="false" dt2D="false" dtr="false" t="normal">(3^(A12+1)-1)/2</f>
        <v>88573</v>
      </c>
    </row>
    <row outlineLevel="0" r="13">
      <c r="A13" s="0" t="n">
        <v>11</v>
      </c>
      <c r="B13" s="0" t="n">
        <f aca="false" ca="false" dt2D="false" dtr="false" t="normal">(3^(A13+1)-1)/2</f>
        <v>265720</v>
      </c>
    </row>
    <row outlineLevel="0" r="14">
      <c r="A14" s="0" t="n">
        <v>12</v>
      </c>
      <c r="B14" s="0" t="n">
        <f aca="false" ca="false" dt2D="false" dtr="false" t="normal">(3^(A14+1)-1)/2</f>
        <v>797161</v>
      </c>
    </row>
    <row outlineLevel="0" r="15">
      <c r="A15" s="0" t="n">
        <v>13</v>
      </c>
      <c r="B15" s="0" t="n">
        <f aca="false" ca="false" dt2D="false" dtr="false" t="normal">(3^(A15+1)-1)/2</f>
        <v>2391484</v>
      </c>
    </row>
    <row outlineLevel="0" r="16">
      <c r="A16" s="0" t="n">
        <v>14</v>
      </c>
      <c r="B16" s="0" t="n">
        <f aca="false" ca="false" dt2D="false" dtr="false" t="normal">(3^(A16+1)-1)/2</f>
        <v>7174453</v>
      </c>
    </row>
    <row outlineLevel="0" r="17">
      <c r="A17" s="0" t="n">
        <v>15</v>
      </c>
      <c r="B17" s="0" t="n">
        <f aca="false" ca="false" dt2D="false" dtr="false" t="normal">(3^(A17+1)-1)/2</f>
        <v>21523360</v>
      </c>
    </row>
    <row outlineLevel="0" r="18">
      <c r="A18" s="0" t="n">
        <v>16</v>
      </c>
      <c r="B18" s="0" t="n">
        <f aca="false" ca="false" dt2D="false" dtr="false" t="normal">(3^(A18+1)-1)/2</f>
        <v>64570081</v>
      </c>
    </row>
    <row outlineLevel="0" r="19">
      <c r="A19" s="0" t="n">
        <v>17</v>
      </c>
      <c r="B19" s="0" t="n">
        <f aca="false" ca="false" dt2D="false" dtr="false" t="normal">(3^(A19+1)-1)/2</f>
        <v>193710244</v>
      </c>
    </row>
    <row outlineLevel="0" r="20">
      <c r="A20" s="0" t="n">
        <v>18</v>
      </c>
      <c r="B20" s="0" t="n">
        <f aca="false" ca="false" dt2D="false" dtr="false" t="normal">(3^(A20+1)-1)/2</f>
        <v>581130733</v>
      </c>
    </row>
    <row outlineLevel="0" r="21">
      <c r="A21" s="0" t="n">
        <v>19</v>
      </c>
      <c r="B21" s="0" t="n">
        <f aca="false" ca="false" dt2D="false" dtr="false" t="normal">(3^(A21+1)-1)/2</f>
        <v>1743392200</v>
      </c>
    </row>
    <row outlineLevel="0" r="22">
      <c r="A22" s="0" t="n">
        <v>20</v>
      </c>
      <c r="B22" s="0" t="n">
        <f aca="false" ca="false" dt2D="false" dtr="false" t="normal">(3^(A22+1)-1)/2</f>
        <v>5230176601</v>
      </c>
    </row>
    <row outlineLevel="0" r="23">
      <c r="A23" s="0" t="n">
        <v>21</v>
      </c>
      <c r="B23" s="0" t="n">
        <f aca="false" ca="false" dt2D="false" dtr="false" t="normal">(3^(A23+1)-1)/2</f>
        <v>15690529804</v>
      </c>
    </row>
    <row outlineLevel="0" r="24">
      <c r="A24" s="0" t="n">
        <v>22</v>
      </c>
      <c r="B24" s="0" t="n">
        <f aca="false" ca="false" dt2D="false" dtr="false" t="normal">(3^(A24+1)-1)/2</f>
        <v>47071589413</v>
      </c>
    </row>
    <row outlineLevel="0" r="25">
      <c r="A25" s="0" t="n">
        <v>23</v>
      </c>
      <c r="B25" s="0" t="n">
        <f aca="false" ca="false" dt2D="false" dtr="false" t="normal">(3^(A25+1)-1)/2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17.560973497241829"/>
    <col customWidth="true" max="2" min="2" outlineLevel="0" width="14.101996042526348"/>
    <col customWidth="true" max="3" min="3" outlineLevel="0" width="12.904654049237847"/>
  </cols>
  <sheetData>
    <row outlineLevel="0" r="1">
      <c r="A1" s="2" t="s">
        <v>2</v>
      </c>
      <c r="B1" s="3" t="s">
        <v>3</v>
      </c>
      <c r="C1" s="4" t="s">
        <v>4</v>
      </c>
    </row>
    <row outlineLevel="0" r="2">
      <c r="A2" s="5" t="n">
        <v>0</v>
      </c>
      <c r="B2" s="5" t="n">
        <f aca="false" ca="false" dt2D="false" dtr="false" t="normal">VLOOKUP($A2, 'Лист1'!$A$2:$B$25, 2, 0)</f>
        <v>1</v>
      </c>
      <c r="C2" s="5" t="n">
        <f aca="false" ca="false" dt2D="false" dtr="false" t="normal">VLOOKUP($A2, 'Лист2'!$A$2:$B$25, 2, 0)</f>
        <v>1</v>
      </c>
    </row>
    <row outlineLevel="0" r="3">
      <c r="A3" s="5" t="n">
        <v>1</v>
      </c>
      <c r="B3" s="5" t="n">
        <f aca="false" ca="false" dt2D="false" dtr="false" t="normal">VLOOKUP($A3, 'Лист1'!$A$2:$B$25, 2, 0)</f>
        <v>3</v>
      </c>
      <c r="C3" s="5" t="n">
        <f aca="false" ca="false" dt2D="false" dtr="false" t="normal">VLOOKUP($A3, 'Лист2'!$A$2:$B$25, 2, 0)</f>
        <v>4</v>
      </c>
    </row>
    <row outlineLevel="0" r="4">
      <c r="A4" s="5" t="n">
        <v>2</v>
      </c>
      <c r="B4" s="5" t="n">
        <f aca="false" ca="false" dt2D="false" dtr="false" t="normal">VLOOKUP($A4, 'Лист1'!$A$2:$B$25, 2, 0)</f>
        <v>7</v>
      </c>
      <c r="C4" s="5" t="n">
        <f aca="false" ca="false" dt2D="false" dtr="false" t="normal">VLOOKUP($A4, 'Лист2'!$A$2:$B$25, 2, 0)</f>
        <v>13</v>
      </c>
    </row>
    <row outlineLevel="0" r="5">
      <c r="A5" s="5" t="n">
        <v>3</v>
      </c>
      <c r="B5" s="5" t="n">
        <f aca="false" ca="false" dt2D="false" dtr="false" t="normal">VLOOKUP($A5, 'Лист1'!$A$2:$B$25, 2, 0)</f>
        <v>15</v>
      </c>
      <c r="C5" s="5" t="n">
        <f aca="false" ca="false" dt2D="false" dtr="false" t="normal">VLOOKUP($A5, 'Лист2'!$A$2:$B$25, 2, 0)</f>
        <v>40</v>
      </c>
    </row>
    <row outlineLevel="0" r="6">
      <c r="A6" s="5" t="n">
        <v>4</v>
      </c>
      <c r="B6" s="5" t="n">
        <f aca="false" ca="false" dt2D="false" dtr="false" t="normal">VLOOKUP($A6, 'Лист1'!$A$2:$B$25, 2, 0)</f>
        <v>31</v>
      </c>
      <c r="C6" s="5" t="n">
        <f aca="false" ca="false" dt2D="false" dtr="false" t="normal">VLOOKUP($A6, 'Лист2'!$A$2:$B$25, 2, 0)</f>
        <v>121</v>
      </c>
    </row>
    <row outlineLevel="0" r="7">
      <c r="A7" s="5" t="n">
        <v>5</v>
      </c>
      <c r="B7" s="5" t="n">
        <f aca="false" ca="false" dt2D="false" dtr="false" t="normal">VLOOKUP($A7, 'Лист1'!$A$2:$B$25, 2, 0)</f>
        <v>63</v>
      </c>
      <c r="C7" s="5" t="n">
        <f aca="false" ca="false" dt2D="false" dtr="false" t="normal">VLOOKUP($A7, 'Лист2'!$A$2:$B$25, 2, 0)</f>
        <v>364</v>
      </c>
    </row>
    <row outlineLevel="0" r="8">
      <c r="A8" s="5" t="n">
        <v>6</v>
      </c>
      <c r="B8" s="5" t="n">
        <f aca="false" ca="false" dt2D="false" dtr="false" t="normal">VLOOKUP($A8, 'Лист1'!$A$2:$B$25, 2, 0)</f>
        <v>127</v>
      </c>
      <c r="C8" s="5" t="n">
        <f aca="false" ca="false" dt2D="false" dtr="false" t="normal">VLOOKUP($A8, 'Лист2'!$A$2:$B$25, 2, 0)</f>
        <v>1093</v>
      </c>
    </row>
    <row outlineLevel="0" r="9">
      <c r="A9" s="5" t="n">
        <v>7</v>
      </c>
      <c r="B9" s="5" t="n">
        <f aca="false" ca="false" dt2D="false" dtr="false" t="normal">VLOOKUP($A9, 'Лист1'!$A$2:$B$25, 2, 0)</f>
        <v>255</v>
      </c>
      <c r="C9" s="5" t="n">
        <f aca="false" ca="false" dt2D="false" dtr="false" t="normal">VLOOKUP($A9, 'Лист2'!$A$2:$B$25, 2, 0)</f>
        <v>3280</v>
      </c>
    </row>
    <row outlineLevel="0" r="10">
      <c r="A10" s="5" t="n">
        <v>8</v>
      </c>
      <c r="B10" s="5" t="n">
        <f aca="false" ca="false" dt2D="false" dtr="false" t="normal">VLOOKUP($A10, 'Лист1'!$A$2:$B$25, 2, 0)</f>
        <v>511</v>
      </c>
      <c r="C10" s="5" t="n">
        <f aca="false" ca="false" dt2D="false" dtr="false" t="normal">VLOOKUP($A10, 'Лист2'!$A$2:$B$25, 2, 0)</f>
        <v>9841</v>
      </c>
    </row>
    <row outlineLevel="0" r="11">
      <c r="A11" s="5" t="n">
        <v>9</v>
      </c>
      <c r="B11" s="5" t="n">
        <f aca="false" ca="false" dt2D="false" dtr="false" t="normal">VLOOKUP($A11, 'Лист1'!$A$2:$B$25, 2, 0)</f>
        <v>1023</v>
      </c>
      <c r="C11" s="5" t="n">
        <f aca="false" ca="false" dt2D="false" dtr="false" t="normal">VLOOKUP($A11, 'Лист2'!$A$2:$B$25, 2, 0)</f>
        <v>29524</v>
      </c>
    </row>
    <row outlineLevel="0" r="12">
      <c r="A12" s="5" t="n">
        <v>10</v>
      </c>
      <c r="B12" s="5" t="n">
        <f aca="false" ca="false" dt2D="false" dtr="false" t="normal">VLOOKUP($A12, 'Лист1'!$A$2:$B$25, 2, 0)</f>
        <v>2047</v>
      </c>
      <c r="C12" s="5" t="n">
        <f aca="false" ca="false" dt2D="false" dtr="false" t="normal">VLOOKUP($A12, 'Лист2'!$A$2:$B$25, 2, 0)</f>
        <v>88573</v>
      </c>
    </row>
    <row outlineLevel="0" r="13">
      <c r="A13" s="5" t="n">
        <v>11</v>
      </c>
      <c r="B13" s="5" t="n">
        <f aca="false" ca="false" dt2D="false" dtr="false" t="normal">VLOOKUP($A13, 'Лист1'!$A$2:$B$25, 2, 0)</f>
        <v>4095</v>
      </c>
      <c r="C13" s="5" t="n">
        <f aca="false" ca="false" dt2D="false" dtr="false" t="normal">VLOOKUP($A13, 'Лист2'!$A$2:$B$25, 2, 0)</f>
        <v>265720</v>
      </c>
    </row>
    <row outlineLevel="0" r="14">
      <c r="A14" s="5" t="n">
        <v>12</v>
      </c>
      <c r="B14" s="5" t="n">
        <f aca="false" ca="false" dt2D="false" dtr="false" t="normal">VLOOKUP($A14, 'Лист1'!$A$2:$B$25, 2, 0)</f>
        <v>8191</v>
      </c>
      <c r="C14" s="5" t="n">
        <f aca="false" ca="false" dt2D="false" dtr="false" t="normal">VLOOKUP($A14, 'Лист2'!$A$2:$B$25, 2, 0)</f>
        <v>797161</v>
      </c>
    </row>
    <row outlineLevel="0" r="15">
      <c r="A15" s="5" t="n">
        <v>13</v>
      </c>
      <c r="B15" s="5" t="n">
        <f aca="false" ca="false" dt2D="false" dtr="false" t="normal">VLOOKUP($A15, 'Лист1'!$A$2:$B$25, 2, 0)</f>
        <v>16383</v>
      </c>
      <c r="C15" s="5" t="n">
        <f aca="false" ca="false" dt2D="false" dtr="false" t="normal">VLOOKUP($A15, 'Лист2'!$A$2:$B$25, 2, 0)</f>
        <v>2391484</v>
      </c>
    </row>
    <row outlineLevel="0" r="16">
      <c r="A16" s="5" t="n">
        <v>14</v>
      </c>
      <c r="B16" s="5" t="n">
        <f aca="false" ca="false" dt2D="false" dtr="false" t="normal">VLOOKUP($A16, 'Лист1'!$A$2:$B$25, 2, 0)</f>
        <v>32767</v>
      </c>
      <c r="C16" s="5" t="n">
        <f aca="false" ca="false" dt2D="false" dtr="false" t="normal">VLOOKUP($A16, 'Лист2'!$A$2:$B$25, 2, 0)</f>
        <v>7174453</v>
      </c>
    </row>
    <row outlineLevel="0" r="17">
      <c r="A17" s="5" t="n">
        <v>15</v>
      </c>
      <c r="B17" s="5" t="n">
        <f aca="false" ca="false" dt2D="false" dtr="false" t="normal">VLOOKUP($A17, 'Лист1'!$A$2:$B$25, 2, 0)</f>
        <v>65535</v>
      </c>
      <c r="C17" s="5" t="n">
        <f aca="false" ca="false" dt2D="false" dtr="false" t="normal">VLOOKUP($A17, 'Лист2'!$A$2:$B$25, 2, 0)</f>
        <v>21523360</v>
      </c>
    </row>
    <row outlineLevel="0" r="18">
      <c r="A18" s="5" t="n">
        <v>16</v>
      </c>
      <c r="B18" s="5" t="n">
        <f aca="false" ca="false" dt2D="false" dtr="false" t="normal">VLOOKUP($A18, 'Лист1'!$A$2:$B$25, 2, 0)</f>
        <v>131071</v>
      </c>
      <c r="C18" s="5" t="n">
        <f aca="false" ca="false" dt2D="false" dtr="false" t="normal">VLOOKUP($A18, 'Лист2'!$A$2:$B$25, 2, 0)</f>
        <v>64570081</v>
      </c>
    </row>
    <row outlineLevel="0" r="19">
      <c r="A19" s="5" t="n">
        <v>17</v>
      </c>
      <c r="B19" s="5" t="n">
        <f aca="false" ca="false" dt2D="false" dtr="false" t="normal">VLOOKUP($A19, 'Лист1'!$A$2:$B$25, 2, 0)</f>
        <v>262143</v>
      </c>
      <c r="C19" s="5" t="n">
        <f aca="false" ca="false" dt2D="false" dtr="false" t="normal">VLOOKUP($A19, 'Лист2'!$A$2:$B$25, 2, 0)</f>
        <v>193710244</v>
      </c>
    </row>
    <row outlineLevel="0" r="20">
      <c r="A20" s="5" t="n">
        <v>18</v>
      </c>
      <c r="B20" s="5" t="n">
        <f aca="false" ca="false" dt2D="false" dtr="false" t="normal">VLOOKUP($A20, 'Лист1'!$A$2:$B$25, 2, 0)</f>
        <v>524287</v>
      </c>
      <c r="C20" s="5" t="n">
        <f aca="false" ca="false" dt2D="false" dtr="false" t="normal">VLOOKUP($A20, 'Лист2'!$A$2:$B$25, 2, 0)</f>
        <v>581130733</v>
      </c>
    </row>
    <row outlineLevel="0" r="21">
      <c r="A21" s="5" t="n">
        <v>19</v>
      </c>
      <c r="B21" s="5" t="n">
        <f aca="false" ca="false" dt2D="false" dtr="false" t="normal">VLOOKUP($A21, 'Лист1'!$A$2:$B$25, 2, 0)</f>
        <v>1048575</v>
      </c>
      <c r="C21" s="5" t="n">
        <f aca="false" ca="false" dt2D="false" dtr="false" t="normal">VLOOKUP($A21, 'Лист2'!$A$2:$B$25, 2, 0)</f>
        <v>1743392200</v>
      </c>
    </row>
    <row outlineLevel="0" r="22">
      <c r="A22" s="5" t="n">
        <v>20</v>
      </c>
      <c r="B22" s="5" t="n">
        <f aca="false" ca="false" dt2D="false" dtr="false" t="normal">VLOOKUP($A22, 'Лист1'!$A$2:$B$25, 2, 0)</f>
        <v>2097151</v>
      </c>
      <c r="C22" s="5" t="n">
        <f aca="false" ca="false" dt2D="false" dtr="false" t="normal">VLOOKUP($A22, 'Лист2'!$A$2:$B$25, 2, 0)</f>
        <v>5230176601</v>
      </c>
    </row>
    <row outlineLevel="0" r="23">
      <c r="A23" s="5" t="n">
        <v>21</v>
      </c>
      <c r="B23" s="5" t="n">
        <f aca="false" ca="false" dt2D="false" dtr="false" t="normal">VLOOKUP($A23, 'Лист1'!$A$2:$B$25, 2, 0)</f>
        <v>4194303</v>
      </c>
      <c r="C23" s="5" t="n">
        <f aca="false" ca="false" dt2D="false" dtr="false" t="normal">VLOOKUP($A23, 'Лист2'!$A$2:$B$25, 2, 0)</f>
        <v>15690529804</v>
      </c>
    </row>
    <row outlineLevel="0" r="24">
      <c r="A24" s="5" t="n">
        <v>22</v>
      </c>
      <c r="B24" s="5" t="n">
        <f aca="false" ca="false" dt2D="false" dtr="false" t="normal">VLOOKUP($A24, 'Лист1'!$A$2:$B$25, 2, 0)</f>
        <v>8388607</v>
      </c>
      <c r="C24" s="5" t="n">
        <f aca="false" ca="false" dt2D="false" dtr="false" t="normal">VLOOKUP($A24, 'Лист2'!$A$2:$B$25, 2, 0)</f>
        <v>47071589413</v>
      </c>
    </row>
    <row outlineLevel="0" r="25">
      <c r="A25" s="5" t="n">
        <v>23</v>
      </c>
      <c r="B25" s="5" t="n">
        <f aca="false" ca="false" dt2D="false" dtr="false" t="normal">VLOOKUP($A25, 'Лист1'!$A$2:$B$25, 2, 0)</f>
        <v>16777215</v>
      </c>
      <c r="C25" s="5" t="n">
        <f aca="false" ca="false" dt2D="false" dtr="false" t="normal">VLOOKUP($A25, 'Лист2'!$A$2:$B$25, 2, 0)</f>
        <v>141214768240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26.740574694735397"/>
    <col customWidth="true" max="2" min="2" outlineLevel="0" width="15.698445718040237"/>
    <col customWidth="true" max="3" min="3" outlineLevel="0" width="14.900222233612745"/>
    <col customWidth="true" max="4" min="4" outlineLevel="0" width="15.166292217323733"/>
  </cols>
  <sheetData>
    <row outlineLevel="0" r="1">
      <c r="A1" s="6" t="s">
        <v>5</v>
      </c>
      <c r="B1" s="6" t="s">
        <v>6</v>
      </c>
      <c r="C1" s="6" t="s">
        <v>7</v>
      </c>
      <c r="D1" s="6" t="s">
        <v>8</v>
      </c>
    </row>
    <row outlineLevel="0" r="2">
      <c r="A2" s="5" t="s">
        <v>9</v>
      </c>
      <c r="B2" s="5" t="n">
        <f aca="false" ca="false" dt2D="false" dtr="false" t="normal">AVERAGE('Лист3'!$A$2:$A$25)</f>
        <v>11.5</v>
      </c>
      <c r="C2" s="5" t="n">
        <f aca="false" ca="false" dt2D="false" dtr="false" t="normal">AVERAGE('Лист3'!B2:B25)</f>
        <v>1398100.25</v>
      </c>
      <c r="D2" s="5" t="n">
        <f aca="false" ca="false" dt2D="false" dtr="false" t="normal">AVERAGE('Лист3'!C2:C25)</f>
        <v>8825923014.5</v>
      </c>
    </row>
    <row outlineLevel="0" r="3">
      <c r="A3" s="5" t="s">
        <v>10</v>
      </c>
      <c r="B3" s="5" t="n">
        <f aca="false" ca="false" dt2D="false" dtr="false" t="normal">MAX('Лист3'!$A$2:$A$25)</f>
        <v>23</v>
      </c>
      <c r="C3" s="5" t="n">
        <f aca="false" ca="false" dt2D="false" dtr="false" t="normal">MAX('Лист3'!$B$2:$B$25)</f>
        <v>16777215</v>
      </c>
      <c r="D3" s="5" t="n">
        <f aca="false" ca="false" dt2D="false" dtr="false" t="normal">MAX('Лист3'!$C$2:$C$25)</f>
        <v>141214768240</v>
      </c>
    </row>
    <row outlineLevel="0" r="4">
      <c r="A4" s="5" t="s">
        <v>11</v>
      </c>
      <c r="B4" s="5" t="n">
        <f aca="false" ca="false" dt2D="false" dtr="false" t="normal">MIN('Лист3'!$A$2:$A$25)</f>
        <v>0</v>
      </c>
      <c r="C4" s="5" t="n">
        <f aca="false" ca="false" dt2D="false" dtr="false" t="normal">MIN('Лист3'!$B$2:$B$25)</f>
        <v>1</v>
      </c>
      <c r="D4" s="5" t="n">
        <f aca="false" ca="false" dt2D="false" dtr="false" t="normal">MIN('Лист3'!$C$2:$C$25)</f>
        <v>1</v>
      </c>
    </row>
    <row outlineLevel="0" r="5">
      <c r="A5" s="5" t="s">
        <v>12</v>
      </c>
      <c r="B5" s="5" t="n">
        <f aca="false" ca="false" dt2D="false" dtr="false" t="normal">MEDIAN('Лист3'!$A$2:$A$25)</f>
        <v>11.5</v>
      </c>
      <c r="C5" s="5" t="n">
        <f aca="false" ca="false" dt2D="false" dtr="false" t="normal">MEDIAN('Лист3'!$B$2:$B$25)</f>
        <v>6143</v>
      </c>
      <c r="D5" s="5" t="n">
        <f aca="false" ca="false" dt2D="false" dtr="false" t="normal">MEDIAN('Лист3'!$C$2:$C$25)</f>
        <v>531440.5</v>
      </c>
    </row>
    <row outlineLevel="0" r="6">
      <c r="A6" s="5" t="s">
        <v>13</v>
      </c>
      <c r="B6" s="5" t="e">
        <f aca="false" ca="false" dt2D="false" dtr="false" t="normal">MODE('Лист3'!$A$2:$A$25)</f>
        <v>#N/A</v>
      </c>
      <c r="C6" s="5" t="e">
        <f aca="false" ca="false" dt2D="false" dtr="false" t="normal">MODE('Лист3'!$B$2:$B$25)</f>
        <v>#N/A</v>
      </c>
      <c r="D6" s="5" t="e">
        <f aca="false" ca="false" dt2D="false" dtr="false" t="normal">MODE('Лист3'!$C$2:$C$25)</f>
        <v>#N/A</v>
      </c>
    </row>
    <row outlineLevel="0" r="7">
      <c r="A7" s="5" t="s">
        <v>14</v>
      </c>
      <c r="B7" s="5" t="n">
        <f aca="false" ca="false" dt2D="false" dtr="false" t="normal">VAR('Лист3'!$A$2:$A$25)</f>
        <v>50</v>
      </c>
      <c r="C7" s="5" t="n">
        <f aca="false" ca="false" dt2D="false" dtr="false" t="normal">VAR('Лист3'!$B$2:$B$25)</f>
        <v>14277716453108.805</v>
      </c>
      <c r="D7" s="5" t="n">
        <f aca="false" ca="false" dt2D="false" dtr="false" t="normal">VAR('Лист3'!$C$2:$C$25)</f>
        <v>8.9412113503345364E+20</v>
      </c>
    </row>
    <row outlineLevel="0" r="8">
      <c r="A8" s="7" t="n"/>
      <c r="B8" s="7" t="n"/>
      <c r="C8" s="7" t="n"/>
      <c r="D8" s="7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5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5" t="n"/>
      <c r="B1" s="5" t="n">
        <v>2021</v>
      </c>
      <c r="C1" s="5" t="n">
        <v>2022</v>
      </c>
      <c r="D1" s="5" t="n">
        <v>2023</v>
      </c>
      <c r="E1" s="5" t="n">
        <v>2024</v>
      </c>
      <c r="F1" s="5" t="n">
        <v>2025</v>
      </c>
      <c r="G1" s="5" t="n">
        <v>2026</v>
      </c>
      <c r="H1" s="5" t="n">
        <v>2027</v>
      </c>
    </row>
    <row outlineLevel="0" r="2">
      <c r="A2" s="5" t="s">
        <v>15</v>
      </c>
      <c r="B2" s="5" t="n">
        <v>1510000</v>
      </c>
      <c r="C2" s="5" t="n">
        <v>2236476</v>
      </c>
      <c r="D2" s="5" t="n">
        <v>1934765</v>
      </c>
      <c r="E2" s="5" t="n">
        <v>4543543</v>
      </c>
      <c r="F2" s="5" t="n">
        <v>2348887</v>
      </c>
      <c r="G2" s="5" t="n">
        <v>1170004</v>
      </c>
      <c r="H2" s="5" t="n">
        <v>2344598</v>
      </c>
    </row>
    <row outlineLevel="0" r="3">
      <c r="A3" s="5" t="s">
        <v>16</v>
      </c>
      <c r="B3" s="5" t="n">
        <v>237800</v>
      </c>
      <c r="C3" s="5" t="n">
        <v>732647</v>
      </c>
      <c r="D3" s="5" t="n">
        <v>567672</v>
      </c>
      <c r="E3" s="5" t="n">
        <v>234234</v>
      </c>
      <c r="F3" s="5" t="n">
        <v>323217</v>
      </c>
      <c r="G3" s="5" t="n">
        <v>634423</v>
      </c>
      <c r="H3" s="5" t="n">
        <v>235455</v>
      </c>
    </row>
    <row outlineLevel="0" r="4">
      <c r="A4" s="5" t="s">
        <v>17</v>
      </c>
      <c r="B4" s="5" t="n">
        <v>3211400</v>
      </c>
      <c r="C4" s="5" t="n">
        <v>4873837</v>
      </c>
      <c r="D4" s="5" t="n">
        <v>3654654</v>
      </c>
      <c r="E4" s="5" t="n">
        <v>3453453</v>
      </c>
      <c r="F4" s="5" t="n">
        <v>5435323</v>
      </c>
      <c r="G4" s="5" t="n">
        <v>4586959</v>
      </c>
      <c r="H4" s="5" t="n">
        <v>8576885</v>
      </c>
    </row>
    <row outlineLevel="0" r="5">
      <c r="A5" s="5" t="s">
        <v>18</v>
      </c>
      <c r="B5" s="5" t="n">
        <v>4961201</v>
      </c>
      <c r="C5" s="5" t="n">
        <v>7844962</v>
      </c>
      <c r="D5" s="5" t="n">
        <v>6159094</v>
      </c>
      <c r="E5" s="5" t="n">
        <v>8233225</v>
      </c>
      <c r="F5" s="5" t="n">
        <v>8109432</v>
      </c>
      <c r="G5" s="5" t="n">
        <v>6393392</v>
      </c>
      <c r="H5" s="5" t="n">
        <v>11158945</v>
      </c>
    </row>
    <row outlineLevel="0" r="15">
      <c r="B15" s="0" t="n"/>
      <c r="C15" s="0" t="n"/>
      <c r="D15" s="0" t="n"/>
      <c r="E15" s="0" t="n"/>
      <c r="F15" s="0" t="n"/>
      <c r="G15" s="0" t="n"/>
      <c r="H15" s="0" t="n"/>
    </row>
    <row outlineLevel="0" r="16">
      <c r="A16" s="0" t="n"/>
      <c r="B16" s="0" t="n"/>
      <c r="C16" s="0" t="n"/>
      <c r="D16" s="0" t="n"/>
      <c r="E16" s="0" t="n"/>
      <c r="F16" s="0" t="n"/>
      <c r="G16" s="0" t="n"/>
      <c r="H16" s="0" t="n"/>
    </row>
    <row outlineLevel="0" r="17">
      <c r="A17" s="0" t="n"/>
      <c r="B17" s="0" t="n"/>
      <c r="C17" s="0" t="n"/>
      <c r="D17" s="0" t="n"/>
      <c r="E17" s="0" t="n"/>
      <c r="F17" s="0" t="n"/>
      <c r="G17" s="0" t="n"/>
      <c r="H17" s="0" t="n"/>
    </row>
    <row outlineLevel="0" r="18">
      <c r="A18" s="0" t="n"/>
      <c r="B18" s="0" t="n"/>
      <c r="C18" s="0" t="n"/>
      <c r="D18" s="0" t="n"/>
      <c r="E18" s="0" t="n"/>
      <c r="F18" s="0" t="n"/>
      <c r="G18" s="0" t="n"/>
      <c r="H18" s="0" t="n"/>
    </row>
    <row outlineLevel="0" r="19">
      <c r="A19" s="0" t="n"/>
      <c r="B19" s="0" t="n"/>
      <c r="C19" s="0" t="n"/>
      <c r="D19" s="0" t="n"/>
      <c r="E19" s="0" t="n"/>
      <c r="F19" s="0" t="n"/>
      <c r="G19" s="0" t="n"/>
      <c r="H19" s="0" t="n"/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  <drawing r:id="rId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2026-05-04T11:55:21Z</dcterms:created>
  <dcterms:modified xsi:type="dcterms:W3CDTF">2026-05-04T12:36:21Z</dcterms:modified>
</cp:coreProperties>
</file>